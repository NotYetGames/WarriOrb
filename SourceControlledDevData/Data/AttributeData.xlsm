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SmartSheet" sheetId="1" state="visible" r:id="rId3"/>
    <sheet name="Export" sheetId="2" state="visible" r:id="rId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<sst xmlns="http://schemas.openxmlformats.org/spreadsheetml/2006/main" count="29" uniqueCount="29">
  <si>
    <t xml:space="preserve">CostA</t>
  </si>
  <si>
    <t xml:space="preserve">CostB</t>
  </si>
  <si>
    <t xml:space="preserve">AttackCooldown</t>
  </si>
  <si>
    <t xml:space="preserve">Radius</t>
  </si>
  <si>
    <t xml:space="preserve">bSingleTarget</t>
  </si>
  <si>
    <t xml:space="preserve">DamageExplosive</t>
  </si>
  <si>
    <t xml:space="preserve">DamagePierce</t>
  </si>
  <si>
    <t xml:space="preserve">DamageBase</t>
  </si>
  <si>
    <t xml:space="preserve">TotalCost</t>
  </si>
  <si>
    <t xml:space="preserve">Area</t>
  </si>
  <si>
    <t xml:space="preserve">FactoredArea</t>
  </si>
  <si>
    <t xml:space="preserve">DOT</t>
  </si>
  <si>
    <t xml:space="preserve">DOT/$</t>
  </si>
  <si>
    <t xml:space="preserve">DOT*FArea</t>
  </si>
  <si>
    <t xml:space="preserve">DOT*Farea/$</t>
  </si>
  <si>
    <t xml:space="preserve">Melee1</t>
  </si>
  <si>
    <t xml:space="preserve">Melee2</t>
  </si>
  <si>
    <t xml:space="preserve">Melee3</t>
  </si>
  <si>
    <t xml:space="preserve">Ranged1</t>
  </si>
  <si>
    <t xml:space="preserve">Ranged2</t>
  </si>
  <si>
    <t xml:space="preserve">Ranged3</t>
  </si>
  <si>
    <t xml:space="preserve">Slow1</t>
  </si>
  <si>
    <t xml:space="preserve">Slow2</t>
  </si>
  <si>
    <t xml:space="preserve">Slow3</t>
  </si>
  <si>
    <t xml:space="preserve">0 .. 1 penalty amount on area</t>
  </si>
  <si>
    <t xml:space="preserve">SingleTargetPenalty</t>
  </si>
  <si>
    <t xml:space="preserve">UpgradeCost</t>
  </si>
  <si>
    <t xml:space="preserve">PrimaryValue</t>
  </si>
  <si>
    <t xml:space="preserve">SecondaryValue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</si>
</sst>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1"/>
      <color rgb="FF000000"/>
      <name val="Calibri"/>
      <family val="2"/>
      <charset val="1"/>
    </font>
    <font>
      <sz val="10"/>
      <name val="Arial"/>
      <family val="0"/>
      <charset val="238"/>
    </font>
    <font>
      <sz val="10"/>
      <name val="Arial"/>
      <family val="0"/>
      <charset val="238"/>
    </font>
    <font>
      <sz val="10"/>
      <name val="Arial"/>
      <family val="0"/>
      <charset val="238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U1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26" activeCellId="0" sqref="C26"/>
    </sheetView>
  </sheetViews>
  <sheetFormatPr defaultRowHeight="15"/>
  <cols>
    <col collapsed="false" hidden="false" max="1" min="1" style="0" width="8.36734693877551"/>
    <col collapsed="false" hidden="false" max="2" min="2" style="0" width="9.71938775510204"/>
    <col collapsed="false" hidden="false" max="3" min="3" style="0" width="8.36734693877551"/>
    <col collapsed="false" hidden="false" max="4" min="4" style="0" width="14.5816326530612"/>
    <col collapsed="false" hidden="false" max="5" min="5" style="0" width="8.36734693877551"/>
    <col collapsed="false" hidden="false" max="6" min="6" style="0" width="12.9591836734694"/>
    <col collapsed="false" hidden="false" max="7" min="7" style="0" width="16.1989795918367"/>
    <col collapsed="false" hidden="false" max="8" min="8" style="0" width="13.3622448979592"/>
    <col collapsed="false" hidden="false" max="9" min="9" style="0" width="11.8775510204082"/>
    <col collapsed="false" hidden="false" max="1025" min="10" style="0" width="8.36734693877551"/>
  </cols>
  <sheetData>
    <row r="1" customFormat="false" ht="15" hidden="false" customHeight="false" outlineLevel="0" collapsed="false">
      <c r="B1" s="0" t="s">
        <v>0</v>
      </c>
      <c r="C1" s="0" t="s">
        <v>1</v>
      </c>
      <c r="D1" s="0" t="s">
        <v>2</v>
      </c>
      <c r="E1" s="0" t="s">
        <v>3</v>
      </c>
      <c r="F1" s="0" t="s">
        <v>4</v>
      </c>
      <c r="G1" s="0" t="s">
        <v>5</v>
      </c>
      <c r="H1" s="0" t="s">
        <v>6</v>
      </c>
      <c r="I1" s="0" t="s">
        <v>7</v>
      </c>
      <c r="K1" s="0" t="s">
        <v>8</v>
      </c>
      <c r="L1" s="0" t="s">
        <v>9</v>
      </c>
      <c r="M1" s="0" t="s">
        <v>10</v>
      </c>
      <c r="R1" s="0" t="s">
        <v>11</v>
      </c>
      <c r="S1" s="0" t="s">
        <v>12</v>
      </c>
      <c r="T1" s="0" t="s">
        <v>13</v>
      </c>
      <c r="U1" s="0" t="s">
        <v>14</v>
      </c>
    </row>
    <row r="2" customFormat="false" ht="15" hidden="false" customHeight="false" outlineLevel="0" collapsed="false">
      <c r="A2" s="0" t="s">
        <v>15</v>
      </c>
      <c r="B2" s="0" t="n">
        <v>40</v>
      </c>
      <c r="C2" s="0" t="n">
        <v>0</v>
      </c>
      <c r="D2" s="0" t="n">
        <v>1200</v>
      </c>
      <c r="E2" s="0" t="n">
        <v>200</v>
      </c>
      <c r="F2" s="0" t="n">
        <v>0</v>
      </c>
      <c r="G2" s="0" t="n">
        <v>0</v>
      </c>
      <c r="H2" s="0" t="n">
        <v>20</v>
      </c>
      <c r="I2" s="0" t="n">
        <v>0</v>
      </c>
      <c r="K2" s="0" t="n">
        <f aca="false">B2</f>
        <v>40</v>
      </c>
      <c r="L2" s="0" t="n">
        <f aca="false">E2*E2*PI()/(150*150)</f>
        <v>5.58505360638185</v>
      </c>
      <c r="M2" s="0" t="n">
        <f aca="false">L2*(1-$M$14*F2)</f>
        <v>5.58505360638185</v>
      </c>
      <c r="R2" s="0" t="n">
        <f aca="false">(G2+H2+I2)/D2*1000</f>
        <v>16.6666666666667</v>
      </c>
      <c r="S2" s="0" t="n">
        <f aca="false">R2/K2</f>
        <v>0.416666666666667</v>
      </c>
      <c r="T2" s="0" t="n">
        <f aca="false">R2*M2</f>
        <v>93.0842267730309</v>
      </c>
      <c r="U2" s="0" t="n">
        <f aca="false">T2/K2</f>
        <v>2.32710566932577</v>
      </c>
    </row>
    <row r="3" customFormat="false" ht="15" hidden="false" customHeight="false" outlineLevel="0" collapsed="false">
      <c r="A3" s="0" t="s">
        <v>16</v>
      </c>
      <c r="B3" s="0" t="n">
        <v>40</v>
      </c>
      <c r="C3" s="0" t="n">
        <v>0</v>
      </c>
      <c r="D3" s="0" t="n">
        <v>1000</v>
      </c>
      <c r="E3" s="0" t="n">
        <v>250</v>
      </c>
      <c r="F3" s="0" t="n">
        <v>0</v>
      </c>
      <c r="G3" s="0" t="n">
        <v>0</v>
      </c>
      <c r="H3" s="0" t="n">
        <v>40</v>
      </c>
      <c r="I3" s="0" t="n">
        <v>0</v>
      </c>
      <c r="K3" s="0" t="n">
        <f aca="false">B2+B3</f>
        <v>80</v>
      </c>
      <c r="L3" s="0" t="n">
        <f aca="false">E3*E3*PI()/(150*150)</f>
        <v>8.72664625997165</v>
      </c>
      <c r="M3" s="0" t="n">
        <f aca="false">L3*(1-$M$14*F3)</f>
        <v>8.72664625997165</v>
      </c>
      <c r="R3" s="0" t="n">
        <f aca="false">(G3+H3+I3)/D3*1000</f>
        <v>40</v>
      </c>
      <c r="S3" s="0" t="n">
        <f aca="false">R3/K3</f>
        <v>0.5</v>
      </c>
      <c r="T3" s="0" t="n">
        <f aca="false">R3*M3</f>
        <v>349.065850398866</v>
      </c>
      <c r="U3" s="0" t="n">
        <f aca="false">T3/K3</f>
        <v>4.36332312998582</v>
      </c>
    </row>
    <row r="4" customFormat="false" ht="15" hidden="false" customHeight="false" outlineLevel="0" collapsed="false">
      <c r="A4" s="0" t="s">
        <v>17</v>
      </c>
      <c r="B4" s="0" t="n">
        <v>50</v>
      </c>
      <c r="C4" s="0" t="n">
        <v>0</v>
      </c>
      <c r="D4" s="0" t="n">
        <v>800</v>
      </c>
      <c r="E4" s="0" t="n">
        <v>300</v>
      </c>
      <c r="F4" s="0" t="n">
        <v>0</v>
      </c>
      <c r="G4" s="0" t="n">
        <v>0</v>
      </c>
      <c r="H4" s="0" t="n">
        <v>90</v>
      </c>
      <c r="I4" s="0" t="n">
        <v>0</v>
      </c>
      <c r="K4" s="0" t="n">
        <f aca="false">B2+B3+B4</f>
        <v>130</v>
      </c>
      <c r="L4" s="0" t="n">
        <f aca="false">E4*E4*PI()/(150*150)</f>
        <v>12.5663706143592</v>
      </c>
      <c r="M4" s="0" t="n">
        <f aca="false">L4*(1-$M$14*F4)</f>
        <v>12.5663706143592</v>
      </c>
      <c r="R4" s="0" t="n">
        <f aca="false">(G4+H4+I4)/D4*1000</f>
        <v>112.5</v>
      </c>
      <c r="S4" s="0" t="n">
        <f aca="false">R4/K4</f>
        <v>0.865384615384615</v>
      </c>
      <c r="T4" s="0" t="n">
        <f aca="false">R4*M4</f>
        <v>1413.71669411541</v>
      </c>
      <c r="U4" s="0" t="n">
        <f aca="false">T4/K4</f>
        <v>10.8747438008877</v>
      </c>
    </row>
    <row r="5" customFormat="false" ht="15" hidden="false" customHeight="false" outlineLevel="0" collapsed="false">
      <c r="A5" s="0" t="s">
        <v>18</v>
      </c>
      <c r="B5" s="0" t="n">
        <v>20</v>
      </c>
      <c r="C5" s="0" t="n">
        <v>0</v>
      </c>
      <c r="D5" s="0" t="n">
        <v>200</v>
      </c>
      <c r="E5" s="0" t="n">
        <v>300</v>
      </c>
      <c r="F5" s="0" t="n">
        <v>1</v>
      </c>
      <c r="G5" s="0" t="n">
        <v>5</v>
      </c>
      <c r="H5" s="0" t="n">
        <v>0</v>
      </c>
      <c r="I5" s="0" t="n">
        <v>0</v>
      </c>
      <c r="K5" s="0" t="n">
        <f aca="false">B5</f>
        <v>20</v>
      </c>
      <c r="L5" s="0" t="n">
        <f aca="false">E5*E5*PI()/(150*150)</f>
        <v>12.5663706143592</v>
      </c>
      <c r="M5" s="0" t="n">
        <f aca="false">L5*(1-$M$14*F5)</f>
        <v>5.02654824574367</v>
      </c>
      <c r="R5" s="0" t="n">
        <f aca="false">(G5+H5+I5)/D5*1000</f>
        <v>25</v>
      </c>
      <c r="S5" s="0" t="n">
        <f aca="false">R5/K5</f>
        <v>1.25</v>
      </c>
      <c r="T5" s="0" t="n">
        <f aca="false">R5*M5</f>
        <v>125.663706143592</v>
      </c>
      <c r="U5" s="0" t="n">
        <f aca="false">T5/K5</f>
        <v>6.28318530717959</v>
      </c>
    </row>
    <row r="6" customFormat="false" ht="15" hidden="false" customHeight="false" outlineLevel="0" collapsed="false">
      <c r="A6" s="0" t="s">
        <v>19</v>
      </c>
      <c r="B6" s="0" t="n">
        <v>20</v>
      </c>
      <c r="C6" s="0" t="n">
        <v>0</v>
      </c>
      <c r="D6" s="0" t="n">
        <v>200</v>
      </c>
      <c r="E6" s="0" t="n">
        <v>300</v>
      </c>
      <c r="F6" s="0" t="n">
        <v>1</v>
      </c>
      <c r="G6" s="0" t="n">
        <v>10</v>
      </c>
      <c r="H6" s="0" t="n">
        <v>0</v>
      </c>
      <c r="I6" s="0" t="n">
        <v>0</v>
      </c>
      <c r="K6" s="0" t="n">
        <f aca="false">B5+B6</f>
        <v>40</v>
      </c>
      <c r="L6" s="0" t="n">
        <f aca="false">E6*E6*PI()/(150*150)</f>
        <v>12.5663706143592</v>
      </c>
      <c r="M6" s="0" t="n">
        <f aca="false">L6*(1-$M$14*F6)</f>
        <v>5.02654824574367</v>
      </c>
      <c r="R6" s="0" t="n">
        <f aca="false">(G6+H6+I6)/D6*1000</f>
        <v>50</v>
      </c>
      <c r="S6" s="0" t="n">
        <f aca="false">R6/K6</f>
        <v>1.25</v>
      </c>
      <c r="T6" s="0" t="n">
        <f aca="false">R6*M6</f>
        <v>251.327412287183</v>
      </c>
      <c r="U6" s="0" t="n">
        <f aca="false">T6/K6</f>
        <v>6.28318530717959</v>
      </c>
    </row>
    <row r="7" customFormat="false" ht="15" hidden="false" customHeight="false" outlineLevel="0" collapsed="false">
      <c r="A7" s="0" t="s">
        <v>20</v>
      </c>
      <c r="B7" s="0" t="n">
        <v>30</v>
      </c>
      <c r="C7" s="0" t="n">
        <v>0</v>
      </c>
      <c r="D7" s="0" t="n">
        <v>225</v>
      </c>
      <c r="E7" s="0" t="n">
        <v>315</v>
      </c>
      <c r="F7" s="0" t="n">
        <v>1</v>
      </c>
      <c r="G7" s="0" t="n">
        <v>20</v>
      </c>
      <c r="H7" s="0" t="n">
        <v>0</v>
      </c>
      <c r="I7" s="0" t="n">
        <v>0</v>
      </c>
      <c r="K7" s="0" t="n">
        <f aca="false">B5+B6+B7</f>
        <v>70</v>
      </c>
      <c r="L7" s="0" t="n">
        <f aca="false">E7*E7*PI()/(150*150)</f>
        <v>13.854423602331</v>
      </c>
      <c r="M7" s="0" t="n">
        <f aca="false">L7*(1-$M$14*F7)</f>
        <v>5.54176944093239</v>
      </c>
      <c r="R7" s="0" t="n">
        <f aca="false">(G7+H7+I7)/D7*1000</f>
        <v>88.8888888888889</v>
      </c>
      <c r="S7" s="0" t="n">
        <f aca="false">R7/K7</f>
        <v>1.26984126984127</v>
      </c>
      <c r="T7" s="0" t="n">
        <f aca="false">R7*M7</f>
        <v>492.60172808288</v>
      </c>
      <c r="U7" s="0" t="n">
        <f aca="false">T7/K7</f>
        <v>7.03716754404114</v>
      </c>
    </row>
    <row r="8" customFormat="false" ht="15" hidden="false" customHeight="false" outlineLevel="0" collapsed="false">
      <c r="A8" s="0" t="s">
        <v>21</v>
      </c>
      <c r="B8" s="0" t="n">
        <v>80</v>
      </c>
      <c r="C8" s="0" t="n">
        <v>0</v>
      </c>
      <c r="D8" s="0" t="n">
        <v>1000</v>
      </c>
      <c r="E8" s="0" t="n">
        <v>150</v>
      </c>
      <c r="F8" s="0" t="n">
        <v>0</v>
      </c>
      <c r="G8" s="0" t="n">
        <v>0</v>
      </c>
      <c r="H8" s="0" t="n">
        <v>0</v>
      </c>
      <c r="I8" s="0" t="n">
        <v>10</v>
      </c>
      <c r="K8" s="0" t="n">
        <f aca="false">B8</f>
        <v>80</v>
      </c>
      <c r="L8" s="0" t="n">
        <f aca="false">E8*E8*PI()/(150*150)</f>
        <v>3.14159265358979</v>
      </c>
      <c r="M8" s="0" t="n">
        <f aca="false">L8*(1-$M$14*F8)</f>
        <v>3.14159265358979</v>
      </c>
      <c r="R8" s="0" t="n">
        <f aca="false">(G8+H8+I8)/D8*1000</f>
        <v>10</v>
      </c>
      <c r="S8" s="0" t="n">
        <f aca="false">R8/K8</f>
        <v>0.125</v>
      </c>
      <c r="T8" s="0" t="n">
        <f aca="false">R8*M8</f>
        <v>31.4159265358979</v>
      </c>
      <c r="U8" s="0" t="n">
        <f aca="false">T8/K8</f>
        <v>0.392699081698724</v>
      </c>
    </row>
    <row r="9" customFormat="false" ht="15" hidden="false" customHeight="false" outlineLevel="0" collapsed="false">
      <c r="A9" s="0" t="s">
        <v>22</v>
      </c>
      <c r="B9" s="0" t="n">
        <v>60</v>
      </c>
      <c r="C9" s="0" t="n">
        <v>0</v>
      </c>
      <c r="D9" s="0" t="n">
        <v>800</v>
      </c>
      <c r="E9" s="0" t="n">
        <v>200</v>
      </c>
      <c r="F9" s="0" t="n">
        <v>0</v>
      </c>
      <c r="G9" s="0" t="n">
        <v>0</v>
      </c>
      <c r="H9" s="0" t="n">
        <v>0</v>
      </c>
      <c r="I9" s="0" t="n">
        <v>15</v>
      </c>
      <c r="K9" s="0" t="n">
        <f aca="false">B8+B9</f>
        <v>140</v>
      </c>
      <c r="L9" s="0" t="n">
        <f aca="false">E9*E9*PI()/(150*150)</f>
        <v>5.58505360638185</v>
      </c>
      <c r="M9" s="0" t="n">
        <f aca="false">L9*(1-$M$14*F9)</f>
        <v>5.58505360638185</v>
      </c>
      <c r="R9" s="0" t="n">
        <f aca="false">(G9+H9+I9)/D9*1000</f>
        <v>18.75</v>
      </c>
      <c r="S9" s="0" t="n">
        <f aca="false">R9/K9</f>
        <v>0.133928571428571</v>
      </c>
      <c r="T9" s="0" t="n">
        <f aca="false">R9*M9</f>
        <v>104.71975511966</v>
      </c>
      <c r="U9" s="0" t="n">
        <f aca="false">T9/K9</f>
        <v>0.747998250854713</v>
      </c>
    </row>
    <row r="10" customFormat="false" ht="15" hidden="false" customHeight="false" outlineLevel="0" collapsed="false">
      <c r="A10" s="0" t="s">
        <v>23</v>
      </c>
      <c r="B10" s="0" t="n">
        <v>60</v>
      </c>
      <c r="C10" s="0" t="n">
        <v>0</v>
      </c>
      <c r="D10" s="0" t="n">
        <v>500</v>
      </c>
      <c r="E10" s="0" t="n">
        <v>300</v>
      </c>
      <c r="F10" s="0" t="n">
        <v>0</v>
      </c>
      <c r="G10" s="0" t="n">
        <v>0</v>
      </c>
      <c r="H10" s="0" t="n">
        <v>0</v>
      </c>
      <c r="I10" s="0" t="n">
        <v>30</v>
      </c>
      <c r="K10" s="0" t="n">
        <f aca="false">B8+B9+B10</f>
        <v>200</v>
      </c>
      <c r="L10" s="0" t="n">
        <f aca="false">E10*E10*PI()/(150*150)</f>
        <v>12.5663706143592</v>
      </c>
      <c r="M10" s="0" t="n">
        <f aca="false">L10*(1-$M$14*F10)</f>
        <v>12.5663706143592</v>
      </c>
      <c r="R10" s="0" t="n">
        <f aca="false">(G10+H10+I10)/D10*1000</f>
        <v>60</v>
      </c>
      <c r="S10" s="0" t="n">
        <f aca="false">R10/K10</f>
        <v>0.3</v>
      </c>
      <c r="T10" s="0" t="n">
        <f aca="false">R10*M10</f>
        <v>753.98223686155</v>
      </c>
      <c r="U10" s="0" t="n">
        <f aca="false">T10/K10</f>
        <v>3.76991118430775</v>
      </c>
    </row>
    <row r="12" customFormat="false" ht="15" hidden="false" customHeight="false" outlineLevel="0" collapsed="false">
      <c r="M12" s="0" t="s">
        <v>24</v>
      </c>
    </row>
    <row r="13" customFormat="false" ht="15" hidden="false" customHeight="false" outlineLevel="0" collapsed="false">
      <c r="M13" s="0" t="s">
        <v>25</v>
      </c>
    </row>
    <row r="14" customFormat="false" ht="15" hidden="false" customHeight="false" outlineLevel="0" collapsed="false">
      <c r="M14" s="0" t="n">
        <v>0.6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D3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F22" activeCellId="0" sqref="F22"/>
    </sheetView>
  </sheetViews>
  <sheetFormatPr defaultRowHeight="13.8"/>
  <cols>
    <col collapsed="false" hidden="false" max="1" min="1" style="0" width="12.5459183673469"/>
    <col collapsed="false" hidden="false" max="2" min="2" style="0" width="12.5561224489796"/>
    <col collapsed="false" hidden="false" max="3" min="3" style="0" width="13.2295918367347"/>
    <col collapsed="false" hidden="false" max="4" min="4" style="0" width="15.5255102040816"/>
    <col collapsed="false" hidden="false" max="1025" min="5" style="0" width="8.36734693877551"/>
  </cols>
  <sheetData>
    <row r="1" customFormat="false" ht="33.75" hidden="false" customHeight="true" outlineLevel="0" collapsed="false">
      <c r="B1" s="0" t="s">
        <v>26</v>
      </c>
      <c r="C1" s="0" t="s">
        <v>27</v>
      </c>
      <c r="D1" s="0" t="s">
        <v>28</v>
      </c>
    </row>
    <row r="2" customFormat="false" ht="13.8" hidden="false" customHeight="false" outlineLevel="0" collapsed="false">
      <c r="A2" s="0" t="n">
        <v>0</v>
      </c>
      <c r="B2" s="0" t="n">
        <v>1</v>
      </c>
      <c r="C2" s="0" t="n">
        <v>100</v>
      </c>
      <c r="D2" s="0" t="n">
        <v>0</v>
      </c>
    </row>
    <row r="3" customFormat="false" ht="13.8" hidden="false" customHeight="false" outlineLevel="0" collapsed="false">
      <c r="A3" s="0" t="n">
        <v>1</v>
      </c>
      <c r="B3" s="0" t="n">
        <v>1</v>
      </c>
      <c r="C3" s="0" t="n">
        <v>120</v>
      </c>
      <c r="D3" s="0" t="n">
        <v>0</v>
      </c>
    </row>
    <row r="4" customFormat="false" ht="13.8" hidden="false" customHeight="false" outlineLevel="0" collapsed="false">
      <c r="A4" s="0" t="n">
        <v>2</v>
      </c>
      <c r="B4" s="0" t="n">
        <v>1</v>
      </c>
      <c r="C4" s="0" t="n">
        <v>140</v>
      </c>
      <c r="D4" s="0" t="n">
        <v>0</v>
      </c>
    </row>
    <row r="5" customFormat="false" ht="13.8" hidden="false" customHeight="false" outlineLevel="0" collapsed="false">
      <c r="A5" s="0" t="n">
        <v>3</v>
      </c>
      <c r="B5" s="0" t="n">
        <v>1</v>
      </c>
      <c r="C5" s="0" t="n">
        <v>160</v>
      </c>
      <c r="D5" s="0" t="n">
        <v>0</v>
      </c>
    </row>
    <row r="6" customFormat="false" ht="13.8" hidden="false" customHeight="false" outlineLevel="0" collapsed="false">
      <c r="A6" s="0" t="n">
        <v>4</v>
      </c>
      <c r="B6" s="0" t="n">
        <v>1</v>
      </c>
      <c r="C6" s="0" t="n">
        <v>180</v>
      </c>
      <c r="D6" s="0" t="n">
        <v>0</v>
      </c>
    </row>
    <row r="7" customFormat="false" ht="13.8" hidden="false" customHeight="false" outlineLevel="0" collapsed="false">
      <c r="A7" s="0" t="n">
        <v>5</v>
      </c>
      <c r="B7" s="0" t="n">
        <v>1</v>
      </c>
      <c r="C7" s="0" t="n">
        <v>200</v>
      </c>
      <c r="D7" s="0" t="n">
        <v>0</v>
      </c>
    </row>
    <row r="8" customFormat="false" ht="13.8" hidden="false" customHeight="false" outlineLevel="0" collapsed="false">
      <c r="A8" s="0" t="n">
        <v>6</v>
      </c>
      <c r="B8" s="0" t="n">
        <v>2</v>
      </c>
      <c r="C8" s="0" t="n">
        <v>220</v>
      </c>
      <c r="D8" s="0" t="n">
        <v>0</v>
      </c>
    </row>
    <row r="9" customFormat="false" ht="13.8" hidden="false" customHeight="false" outlineLevel="0" collapsed="false">
      <c r="A9" s="0" t="n">
        <v>7</v>
      </c>
      <c r="B9" s="0" t="n">
        <v>2</v>
      </c>
      <c r="C9" s="0" t="n">
        <v>240</v>
      </c>
      <c r="D9" s="0" t="n">
        <v>0</v>
      </c>
    </row>
    <row r="10" customFormat="false" ht="13.8" hidden="false" customHeight="false" outlineLevel="0" collapsed="false">
      <c r="A10" s="0" t="n">
        <v>8</v>
      </c>
      <c r="B10" s="0" t="n">
        <v>2</v>
      </c>
      <c r="C10" s="0" t="n">
        <v>260</v>
      </c>
      <c r="D10" s="0" t="n">
        <v>0</v>
      </c>
    </row>
    <row r="11" customFormat="false" ht="13.8" hidden="false" customHeight="false" outlineLevel="0" collapsed="false">
      <c r="A11" s="0" t="n">
        <v>9</v>
      </c>
      <c r="B11" s="0" t="n">
        <v>2</v>
      </c>
      <c r="C11" s="0" t="n">
        <v>280</v>
      </c>
      <c r="D11" s="0" t="n">
        <v>0</v>
      </c>
    </row>
    <row r="12" customFormat="false" ht="13.8" hidden="false" customHeight="false" outlineLevel="0" collapsed="false">
      <c r="A12" s="0" t="n">
        <v>10</v>
      </c>
      <c r="B12" s="0" t="n">
        <v>2</v>
      </c>
      <c r="C12" s="0" t="n">
        <v>300</v>
      </c>
      <c r="D12" s="0" t="n">
        <v>0</v>
      </c>
    </row>
    <row r="13" customFormat="false" ht="13.8" hidden="false" customHeight="false" outlineLevel="0" collapsed="false">
      <c r="A13" s="0" t="n">
        <v>11</v>
      </c>
      <c r="B13" s="0" t="n">
        <v>4</v>
      </c>
      <c r="C13" s="0" t="n">
        <v>320</v>
      </c>
      <c r="D13" s="0" t="n">
        <v>0</v>
      </c>
    </row>
    <row r="14" customFormat="false" ht="13.8" hidden="false" customHeight="false" outlineLevel="0" collapsed="false">
      <c r="A14" s="0" t="n">
        <v>12</v>
      </c>
      <c r="B14" s="0" t="n">
        <v>4</v>
      </c>
      <c r="C14" s="0" t="n">
        <v>340</v>
      </c>
      <c r="D14" s="0" t="n">
        <v>0</v>
      </c>
    </row>
    <row r="15" customFormat="false" ht="13.8" hidden="false" customHeight="false" outlineLevel="0" collapsed="false">
      <c r="A15" s="0" t="n">
        <v>13</v>
      </c>
      <c r="B15" s="0" t="n">
        <v>4</v>
      </c>
      <c r="C15" s="0" t="n">
        <v>360</v>
      </c>
      <c r="D15" s="0" t="n">
        <v>0</v>
      </c>
    </row>
    <row r="16" customFormat="false" ht="13.8" hidden="false" customHeight="false" outlineLevel="0" collapsed="false">
      <c r="A16" s="0" t="n">
        <v>14</v>
      </c>
      <c r="B16" s="0" t="n">
        <v>4</v>
      </c>
      <c r="C16" s="0" t="n">
        <v>380</v>
      </c>
      <c r="D16" s="0" t="n">
        <v>0</v>
      </c>
    </row>
    <row r="17" customFormat="false" ht="13.8" hidden="false" customHeight="false" outlineLevel="0" collapsed="false">
      <c r="A17" s="0" t="n">
        <v>15</v>
      </c>
      <c r="B17" s="0" t="n">
        <v>4</v>
      </c>
      <c r="C17" s="0" t="n">
        <v>400</v>
      </c>
      <c r="D17" s="0" t="n">
        <v>0</v>
      </c>
    </row>
    <row r="18" customFormat="false" ht="13.8" hidden="false" customHeight="false" outlineLevel="0" collapsed="false">
      <c r="A18" s="0" t="n">
        <v>16</v>
      </c>
      <c r="B18" s="0" t="n">
        <v>4</v>
      </c>
      <c r="C18" s="0" t="n">
        <v>420</v>
      </c>
      <c r="D18" s="0" t="n">
        <v>0</v>
      </c>
    </row>
    <row r="19" customFormat="false" ht="13.8" hidden="false" customHeight="false" outlineLevel="0" collapsed="false">
      <c r="A19" s="0" t="n">
        <v>17</v>
      </c>
      <c r="B19" s="0" t="n">
        <v>4</v>
      </c>
      <c r="C19" s="0" t="n">
        <v>440</v>
      </c>
      <c r="D19" s="0" t="n">
        <v>0</v>
      </c>
    </row>
    <row r="20" customFormat="false" ht="13.8" hidden="false" customHeight="false" outlineLevel="0" collapsed="false">
      <c r="A20" s="0" t="n">
        <v>18</v>
      </c>
      <c r="B20" s="0" t="n">
        <v>4</v>
      </c>
      <c r="C20" s="0" t="n">
        <v>460</v>
      </c>
      <c r="D20" s="0" t="n">
        <v>0</v>
      </c>
    </row>
    <row r="21" customFormat="false" ht="13.8" hidden="false" customHeight="false" outlineLevel="0" collapsed="false">
      <c r="A21" s="0" t="n">
        <v>19</v>
      </c>
      <c r="B21" s="0" t="n">
        <v>4</v>
      </c>
      <c r="C21" s="0" t="n">
        <v>480</v>
      </c>
      <c r="D21" s="0" t="n">
        <v>0</v>
      </c>
    </row>
    <row r="22" customFormat="false" ht="13.8" hidden="false" customHeight="false" outlineLevel="0" collapsed="false">
      <c r="A22" s="0" t="n">
        <v>20</v>
      </c>
      <c r="B22" s="0" t="n">
        <v>4</v>
      </c>
      <c r="C22" s="0" t="n">
        <v>500</v>
      </c>
      <c r="D22" s="0" t="n">
        <v>0</v>
      </c>
    </row>
    <row r="23" customFormat="false" ht="13.8" hidden="false" customHeight="false" outlineLevel="0" collapsed="false">
      <c r="A23" s="0" t="n">
        <v>21</v>
      </c>
      <c r="B23" s="0" t="n">
        <v>4</v>
      </c>
      <c r="C23" s="0" t="n">
        <v>520</v>
      </c>
      <c r="D23" s="0" t="n">
        <v>0</v>
      </c>
    </row>
    <row r="24" customFormat="false" ht="13.8" hidden="false" customHeight="false" outlineLevel="0" collapsed="false">
      <c r="A24" s="0" t="n">
        <v>22</v>
      </c>
      <c r="B24" s="0" t="n">
        <v>4</v>
      </c>
      <c r="C24" s="0" t="n">
        <v>540</v>
      </c>
      <c r="D24" s="0" t="n">
        <v>0</v>
      </c>
    </row>
    <row r="25" customFormat="false" ht="13.8" hidden="false" customHeight="false" outlineLevel="0" collapsed="false">
      <c r="A25" s="0" t="n">
        <v>23</v>
      </c>
      <c r="B25" s="0" t="n">
        <v>4</v>
      </c>
      <c r="C25" s="0" t="n">
        <v>560</v>
      </c>
      <c r="D25" s="0" t="n">
        <v>0</v>
      </c>
    </row>
    <row r="26" customFormat="false" ht="13.8" hidden="false" customHeight="false" outlineLevel="0" collapsed="false">
      <c r="A26" s="0" t="n">
        <v>24</v>
      </c>
      <c r="B26" s="0" t="n">
        <v>4</v>
      </c>
      <c r="C26" s="0" t="n">
        <v>580</v>
      </c>
      <c r="D26" s="0" t="n">
        <v>0</v>
      </c>
    </row>
    <row r="27" customFormat="false" ht="13.8" hidden="false" customHeight="false" outlineLevel="0" collapsed="false">
      <c r="A27" s="0" t="n">
        <v>25</v>
      </c>
      <c r="B27" s="0" t="n">
        <v>4</v>
      </c>
      <c r="C27" s="0" t="n">
        <v>600</v>
      </c>
      <c r="D27" s="0" t="n">
        <v>0</v>
      </c>
    </row>
    <row r="28" customFormat="false" ht="13.8" hidden="false" customHeight="false" outlineLevel="0" collapsed="false">
      <c r="A28" s="0" t="n">
        <v>26</v>
      </c>
      <c r="B28" s="0" t="n">
        <v>4</v>
      </c>
      <c r="C28" s="0" t="n">
        <v>620</v>
      </c>
      <c r="D28" s="0" t="n">
        <v>0</v>
      </c>
    </row>
    <row r="29" customFormat="false" ht="13.8" hidden="false" customHeight="false" outlineLevel="0" collapsed="false">
      <c r="A29" s="0" t="n">
        <v>27</v>
      </c>
      <c r="B29" s="0" t="n">
        <v>4</v>
      </c>
      <c r="C29" s="0" t="n">
        <v>640</v>
      </c>
      <c r="D29" s="0" t="n">
        <v>0</v>
      </c>
    </row>
    <row r="30" customFormat="false" ht="13.8" hidden="false" customHeight="false" outlineLevel="0" collapsed="false">
      <c r="A30" s="0" t="n">
        <v>28</v>
      </c>
      <c r="B30" s="0" t="n">
        <v>4</v>
      </c>
      <c r="C30" s="0" t="n">
        <v>660</v>
      </c>
      <c r="D30" s="0" t="n">
        <v>0</v>
      </c>
    </row>
    <row r="31" customFormat="false" ht="13.8" hidden="false" customHeight="false" outlineLevel="0" collapsed="false">
      <c r="A31" s="0" t="n">
        <v>29</v>
      </c>
      <c r="B31" s="0" t="n">
        <v>4</v>
      </c>
      <c r="C31" s="0" t="n">
        <v>680</v>
      </c>
      <c r="D31" s="0" t="n">
        <v>0</v>
      </c>
    </row>
    <row r="32" customFormat="false" ht="13.8" hidden="false" customHeight="false" outlineLevel="0" collapsed="false">
      <c r="A32" s="0" t="n">
        <v>30</v>
      </c>
      <c r="B32" s="0" t="n">
        <v>4</v>
      </c>
      <c r="C32" s="0" t="n">
        <v>700</v>
      </c>
      <c r="D32" s="0" t="n">
        <v>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LibreOffice/5.2.4.2$Windows_x86 LibreOffice_project/3d5603e1122f0f102b62521720ab13a38a4e0eb0</Application>
  <Company>Epic Games, Inc.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2012-08-21T01:23:22Z</dcterms:created>
  <dc:creator>michael.noland</dc:creator>
  <dc:description/>
  <dc:language>hu-HU</dc:language>
  <cp:lastModifiedBy/>
  <dcterms:modified xsi:type="dcterms:W3CDTF">2017-01-15T11:11:33Z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Company">
    <vt:lpwstr>Epic Games, Inc.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