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saba\Documents\Unreal Projects\SOrb12\Content\Data\"/>
    </mc:Choice>
  </mc:AlternateContent>
  <bookViews>
    <workbookView xWindow="0" yWindow="0" windowWidth="14835" windowHeight="7965" activeTab="1"/>
  </bookViews>
  <sheets>
    <sheet name="SmartSheet" sheetId="1" r:id="rId1"/>
    <sheet name="Export" sheetId="2" r:id="rId2"/>
  </sheets>
  <calcPr calcId="152511"/>
</workbook>
</file>

<file path=xl/calcChain.xml><?xml version="1.0" encoding="utf-8"?>
<calcChain xmlns="http://schemas.openxmlformats.org/spreadsheetml/2006/main">
  <c r="L3" i="1" l="1"/>
  <c r="M3" i="1" s="1"/>
  <c r="L4" i="1"/>
  <c r="M4" i="1" s="1"/>
  <c r="L5" i="1"/>
  <c r="M5" i="1" s="1"/>
  <c r="L6" i="1"/>
  <c r="M6" i="1" s="1"/>
  <c r="L7" i="1"/>
  <c r="M7" i="1" s="1"/>
  <c r="L8" i="1"/>
  <c r="M8" i="1" s="1"/>
  <c r="L9" i="1"/>
  <c r="M9" i="1" s="1"/>
  <c r="L10" i="1"/>
  <c r="M10" i="1" s="1"/>
  <c r="L2" i="1"/>
  <c r="M2" i="1" s="1"/>
  <c r="K5" i="1"/>
  <c r="K6" i="1"/>
  <c r="K7" i="1"/>
  <c r="K8" i="1"/>
  <c r="K9" i="1"/>
  <c r="K10" i="1"/>
  <c r="K4" i="1"/>
  <c r="K3" i="1"/>
  <c r="K2" i="1"/>
  <c r="R3" i="1"/>
  <c r="T3" i="1" s="1"/>
  <c r="U3" i="1" s="1"/>
  <c r="R4" i="1"/>
  <c r="R5" i="1"/>
  <c r="R6" i="1"/>
  <c r="T6" i="1" s="1"/>
  <c r="R7" i="1"/>
  <c r="R8" i="1"/>
  <c r="R9" i="1"/>
  <c r="R10" i="1"/>
  <c r="R2" i="1"/>
  <c r="T5" i="1" l="1"/>
  <c r="U5" i="1" s="1"/>
  <c r="S6" i="1"/>
  <c r="S7" i="1"/>
  <c r="S2" i="1"/>
  <c r="T7" i="1"/>
  <c r="U7" i="1" s="1"/>
  <c r="U6" i="1"/>
  <c r="S4" i="1"/>
  <c r="T10" i="1"/>
  <c r="U10" i="1" s="1"/>
  <c r="T4" i="1"/>
  <c r="U4" i="1" s="1"/>
  <c r="T2" i="1"/>
  <c r="U2" i="1" s="1"/>
  <c r="S3" i="1"/>
  <c r="S9" i="1"/>
  <c r="T9" i="1"/>
  <c r="U9" i="1" s="1"/>
  <c r="S8" i="1"/>
  <c r="T8" i="1"/>
  <c r="U8" i="1" s="1"/>
  <c r="S5" i="1"/>
  <c r="S10" i="1"/>
</calcChain>
</file>

<file path=xl/sharedStrings.xml><?xml version="1.0" encoding="utf-8"?>
<sst xmlns="http://schemas.openxmlformats.org/spreadsheetml/2006/main" count="31" uniqueCount="31">
  <si>
    <t>Melee1</t>
  </si>
  <si>
    <t>Melee2</t>
  </si>
  <si>
    <t>Melee3</t>
  </si>
  <si>
    <t>Ranged1</t>
  </si>
  <si>
    <t>Ranged2</t>
  </si>
  <si>
    <t>Ranged3</t>
  </si>
  <si>
    <t>Slow1</t>
  </si>
  <si>
    <t>Slow2</t>
  </si>
  <si>
    <t>Slow3</t>
  </si>
  <si>
    <t>CostA</t>
  </si>
  <si>
    <t>CostB</t>
  </si>
  <si>
    <t>Radius</t>
  </si>
  <si>
    <t>bSingleTarget</t>
  </si>
  <si>
    <t>AttackCooldown</t>
  </si>
  <si>
    <t>DamageExplosive</t>
  </si>
  <si>
    <t>DamagePierce</t>
  </si>
  <si>
    <t>DamageBase</t>
  </si>
  <si>
    <t>DOT</t>
  </si>
  <si>
    <t>DOT/$</t>
  </si>
  <si>
    <t>TotalCost</t>
  </si>
  <si>
    <t>Area</t>
  </si>
  <si>
    <t>FactoredArea</t>
  </si>
  <si>
    <t>DOT*FArea</t>
  </si>
  <si>
    <t>DOT*Farea/$</t>
  </si>
  <si>
    <t>SingleTargetPenalty</t>
  </si>
  <si>
    <t>0 .. 1 penalty amount on area</t>
  </si>
  <si>
    <t>Name</t>
  </si>
  <si>
    <t>Ability</t>
  </si>
  <si>
    <t>Skill</t>
  </si>
  <si>
    <t>Gold</t>
  </si>
  <si>
    <t>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</si>
</sst>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0</xdr:row>
          <xdr:rowOff>47625</xdr:rowOff>
        </xdr:from>
        <xdr:to>
          <xdr:col>0</xdr:col>
          <xdr:colOff>2019300</xdr:colOff>
          <xdr:row>0</xdr:row>
          <xdr:rowOff>390525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14"/>
  <sheetViews>
    <sheetView workbookViewId="0">
      <selection activeCell="E25" sqref="E25"/>
    </sheetView>
  </sheetViews>
  <sheetFormatPr defaultRowHeight="15" x14ac:dyDescent="0.25"/>
  <cols>
    <col min="2" max="2" width="10" bestFit="1" customWidth="1"/>
    <col min="4" max="4" width="15.140625" bestFit="1" customWidth="1"/>
    <col min="6" max="6" width="13.28515625" bestFit="1" customWidth="1"/>
    <col min="7" max="7" width="16.7109375" bestFit="1" customWidth="1"/>
    <col min="8" max="8" width="13.85546875" bestFit="1" customWidth="1"/>
    <col min="9" max="9" width="12.28515625" bestFit="1" customWidth="1"/>
  </cols>
  <sheetData>
    <row r="1" spans="1:21" x14ac:dyDescent="0.25">
      <c r="B1" t="s">
        <v>9</v>
      </c>
      <c r="C1" t="s">
        <v>10</v>
      </c>
      <c r="D1" t="s">
        <v>13</v>
      </c>
      <c r="E1" t="s">
        <v>11</v>
      </c>
      <c r="F1" t="s">
        <v>12</v>
      </c>
      <c r="G1" t="s">
        <v>14</v>
      </c>
      <c r="H1" t="s">
        <v>15</v>
      </c>
      <c r="I1" t="s">
        <v>16</v>
      </c>
      <c r="K1" t="s">
        <v>19</v>
      </c>
      <c r="L1" t="s">
        <v>20</v>
      </c>
      <c r="M1" t="s">
        <v>21</v>
      </c>
      <c r="R1" t="s">
        <v>17</v>
      </c>
      <c r="S1" t="s">
        <v>18</v>
      </c>
      <c r="T1" t="s">
        <v>22</v>
      </c>
      <c r="U1" t="s">
        <v>23</v>
      </c>
    </row>
    <row r="2" spans="1:21" x14ac:dyDescent="0.25">
      <c r="A2" t="s">
        <v>0</v>
      </c>
      <c r="B2">
        <v>40</v>
      </c>
      <c r="C2">
        <v>0</v>
      </c>
      <c r="D2">
        <v>1200</v>
      </c>
      <c r="E2">
        <v>200</v>
      </c>
      <c r="F2">
        <v>0</v>
      </c>
      <c r="G2">
        <v>0</v>
      </c>
      <c r="H2">
        <v>20</v>
      </c>
      <c r="I2">
        <v>0</v>
      </c>
      <c r="K2">
        <f>B2</f>
        <v>40</v>
      </c>
      <c r="L2">
        <f>E2*E2*PI()/(150*150)</f>
        <v>5.5850536063818543</v>
      </c>
      <c r="M2">
        <f>L2*(1-$M$14*F2)</f>
        <v>5.5850536063818543</v>
      </c>
      <c r="R2">
        <f t="shared" ref="R2:R10" si="0">(G2+H2+I2)/D2*1000</f>
        <v>16.666666666666668</v>
      </c>
      <c r="S2">
        <f t="shared" ref="S2:S10" si="1">R2/K2</f>
        <v>0.41666666666666669</v>
      </c>
      <c r="T2">
        <f>R2*M2</f>
        <v>93.084226773030906</v>
      </c>
      <c r="U2">
        <f>T2/K2</f>
        <v>2.3271056693257726</v>
      </c>
    </row>
    <row r="3" spans="1:21" x14ac:dyDescent="0.25">
      <c r="A3" t="s">
        <v>1</v>
      </c>
      <c r="B3">
        <v>40</v>
      </c>
      <c r="C3">
        <v>0</v>
      </c>
      <c r="D3">
        <v>1000</v>
      </c>
      <c r="E3">
        <v>250</v>
      </c>
      <c r="F3">
        <v>0</v>
      </c>
      <c r="G3">
        <v>0</v>
      </c>
      <c r="H3">
        <v>40</v>
      </c>
      <c r="I3">
        <v>0</v>
      </c>
      <c r="K3">
        <f>B2+B3</f>
        <v>80</v>
      </c>
      <c r="L3">
        <f t="shared" ref="L3:L10" si="2">E3*E3*PI()/(150*150)</f>
        <v>8.7266462599716466</v>
      </c>
      <c r="M3">
        <f t="shared" ref="M3:M10" si="3">L3*(1-$M$14*F3)</f>
        <v>8.7266462599716466</v>
      </c>
      <c r="R3">
        <f t="shared" si="0"/>
        <v>40</v>
      </c>
      <c r="S3">
        <f t="shared" si="1"/>
        <v>0.5</v>
      </c>
      <c r="T3">
        <f t="shared" ref="T3:T10" si="4">R3*M3</f>
        <v>349.06585039886585</v>
      </c>
      <c r="U3">
        <f t="shared" ref="U3:U10" si="5">T3/K3</f>
        <v>4.3633231299858233</v>
      </c>
    </row>
    <row r="4" spans="1:21" x14ac:dyDescent="0.25">
      <c r="A4" t="s">
        <v>2</v>
      </c>
      <c r="B4">
        <v>50</v>
      </c>
      <c r="C4">
        <v>0</v>
      </c>
      <c r="D4">
        <v>800</v>
      </c>
      <c r="E4">
        <v>300</v>
      </c>
      <c r="F4">
        <v>0</v>
      </c>
      <c r="G4">
        <v>0</v>
      </c>
      <c r="H4">
        <v>90</v>
      </c>
      <c r="I4">
        <v>0</v>
      </c>
      <c r="K4">
        <f>B2+B3+B4</f>
        <v>130</v>
      </c>
      <c r="L4">
        <f t="shared" si="2"/>
        <v>12.566370614359174</v>
      </c>
      <c r="M4">
        <f t="shared" si="3"/>
        <v>12.566370614359174</v>
      </c>
      <c r="R4">
        <f t="shared" si="0"/>
        <v>112.5</v>
      </c>
      <c r="S4">
        <f t="shared" si="1"/>
        <v>0.86538461538461542</v>
      </c>
      <c r="T4">
        <f t="shared" si="4"/>
        <v>1413.7166941154071</v>
      </c>
      <c r="U4">
        <f t="shared" si="5"/>
        <v>10.874743800887748</v>
      </c>
    </row>
    <row r="5" spans="1:21" x14ac:dyDescent="0.25">
      <c r="A5" t="s">
        <v>3</v>
      </c>
      <c r="B5">
        <v>20</v>
      </c>
      <c r="C5">
        <v>0</v>
      </c>
      <c r="D5">
        <v>200</v>
      </c>
      <c r="E5">
        <v>300</v>
      </c>
      <c r="F5">
        <v>1</v>
      </c>
      <c r="G5">
        <v>5</v>
      </c>
      <c r="H5">
        <v>0</v>
      </c>
      <c r="I5">
        <v>0</v>
      </c>
      <c r="K5">
        <f>B5</f>
        <v>20</v>
      </c>
      <c r="L5">
        <f t="shared" si="2"/>
        <v>12.566370614359174</v>
      </c>
      <c r="M5">
        <f t="shared" si="3"/>
        <v>5.0265482457436699</v>
      </c>
      <c r="R5">
        <f t="shared" si="0"/>
        <v>25</v>
      </c>
      <c r="S5">
        <f t="shared" si="1"/>
        <v>1.25</v>
      </c>
      <c r="T5">
        <f t="shared" si="4"/>
        <v>125.66370614359175</v>
      </c>
      <c r="U5">
        <f t="shared" si="5"/>
        <v>6.283185307179588</v>
      </c>
    </row>
    <row r="6" spans="1:21" x14ac:dyDescent="0.25">
      <c r="A6" t="s">
        <v>4</v>
      </c>
      <c r="B6">
        <v>20</v>
      </c>
      <c r="C6">
        <v>0</v>
      </c>
      <c r="D6">
        <v>200</v>
      </c>
      <c r="E6">
        <v>300</v>
      </c>
      <c r="F6">
        <v>1</v>
      </c>
      <c r="G6">
        <v>10</v>
      </c>
      <c r="H6">
        <v>0</v>
      </c>
      <c r="I6">
        <v>0</v>
      </c>
      <c r="K6">
        <f>B5+B6</f>
        <v>40</v>
      </c>
      <c r="L6">
        <f t="shared" si="2"/>
        <v>12.566370614359174</v>
      </c>
      <c r="M6">
        <f t="shared" si="3"/>
        <v>5.0265482457436699</v>
      </c>
      <c r="R6">
        <f t="shared" si="0"/>
        <v>50</v>
      </c>
      <c r="S6">
        <f t="shared" si="1"/>
        <v>1.25</v>
      </c>
      <c r="T6">
        <f t="shared" si="4"/>
        <v>251.32741228718351</v>
      </c>
      <c r="U6">
        <f t="shared" si="5"/>
        <v>6.283185307179588</v>
      </c>
    </row>
    <row r="7" spans="1:21" x14ac:dyDescent="0.25">
      <c r="A7" t="s">
        <v>5</v>
      </c>
      <c r="B7">
        <v>30</v>
      </c>
      <c r="C7">
        <v>0</v>
      </c>
      <c r="D7">
        <v>225</v>
      </c>
      <c r="E7">
        <v>315</v>
      </c>
      <c r="F7">
        <v>1</v>
      </c>
      <c r="G7">
        <v>20</v>
      </c>
      <c r="H7">
        <v>0</v>
      </c>
      <c r="I7">
        <v>0</v>
      </c>
      <c r="K7">
        <f>B5+B6+B7</f>
        <v>70</v>
      </c>
      <c r="L7">
        <f t="shared" si="2"/>
        <v>13.854423602330987</v>
      </c>
      <c r="M7">
        <f t="shared" si="3"/>
        <v>5.541769440932395</v>
      </c>
      <c r="R7">
        <f t="shared" si="0"/>
        <v>88.888888888888886</v>
      </c>
      <c r="S7">
        <f t="shared" si="1"/>
        <v>1.2698412698412698</v>
      </c>
      <c r="T7">
        <f t="shared" si="4"/>
        <v>492.60172808287956</v>
      </c>
      <c r="U7">
        <f t="shared" si="5"/>
        <v>7.0371675440411368</v>
      </c>
    </row>
    <row r="8" spans="1:21" x14ac:dyDescent="0.25">
      <c r="A8" t="s">
        <v>6</v>
      </c>
      <c r="B8">
        <v>80</v>
      </c>
      <c r="C8">
        <v>0</v>
      </c>
      <c r="D8">
        <v>1000</v>
      </c>
      <c r="E8">
        <v>150</v>
      </c>
      <c r="F8">
        <v>0</v>
      </c>
      <c r="G8">
        <v>0</v>
      </c>
      <c r="H8">
        <v>0</v>
      </c>
      <c r="I8">
        <v>10</v>
      </c>
      <c r="K8">
        <f>B8</f>
        <v>80</v>
      </c>
      <c r="L8">
        <f t="shared" si="2"/>
        <v>3.1415926535897936</v>
      </c>
      <c r="M8">
        <f t="shared" si="3"/>
        <v>3.1415926535897936</v>
      </c>
      <c r="R8">
        <f t="shared" si="0"/>
        <v>10</v>
      </c>
      <c r="S8">
        <f t="shared" si="1"/>
        <v>0.125</v>
      </c>
      <c r="T8">
        <f t="shared" si="4"/>
        <v>31.415926535897935</v>
      </c>
      <c r="U8">
        <f t="shared" si="5"/>
        <v>0.3926990816987242</v>
      </c>
    </row>
    <row r="9" spans="1:21" x14ac:dyDescent="0.25">
      <c r="A9" t="s">
        <v>7</v>
      </c>
      <c r="B9">
        <v>60</v>
      </c>
      <c r="C9">
        <v>0</v>
      </c>
      <c r="D9">
        <v>800</v>
      </c>
      <c r="E9">
        <v>200</v>
      </c>
      <c r="F9">
        <v>0</v>
      </c>
      <c r="G9">
        <v>0</v>
      </c>
      <c r="H9">
        <v>0</v>
      </c>
      <c r="I9">
        <v>15</v>
      </c>
      <c r="K9">
        <f>B8+B9</f>
        <v>140</v>
      </c>
      <c r="L9">
        <f t="shared" si="2"/>
        <v>5.5850536063818543</v>
      </c>
      <c r="M9">
        <f t="shared" si="3"/>
        <v>5.5850536063818543</v>
      </c>
      <c r="R9">
        <f t="shared" si="0"/>
        <v>18.75</v>
      </c>
      <c r="S9">
        <f t="shared" si="1"/>
        <v>0.13392857142857142</v>
      </c>
      <c r="T9">
        <f t="shared" si="4"/>
        <v>104.71975511965977</v>
      </c>
      <c r="U9">
        <f t="shared" si="5"/>
        <v>0.74799825085471261</v>
      </c>
    </row>
    <row r="10" spans="1:21" x14ac:dyDescent="0.25">
      <c r="A10" t="s">
        <v>8</v>
      </c>
      <c r="B10">
        <v>60</v>
      </c>
      <c r="C10">
        <v>0</v>
      </c>
      <c r="D10">
        <v>500</v>
      </c>
      <c r="E10">
        <v>300</v>
      </c>
      <c r="F10">
        <v>0</v>
      </c>
      <c r="G10">
        <v>0</v>
      </c>
      <c r="H10">
        <v>0</v>
      </c>
      <c r="I10">
        <v>30</v>
      </c>
      <c r="K10">
        <f>B8+B9+B10</f>
        <v>200</v>
      </c>
      <c r="L10">
        <f t="shared" si="2"/>
        <v>12.566370614359174</v>
      </c>
      <c r="M10">
        <f t="shared" si="3"/>
        <v>12.566370614359174</v>
      </c>
      <c r="R10">
        <f t="shared" si="0"/>
        <v>60</v>
      </c>
      <c r="S10">
        <f t="shared" si="1"/>
        <v>0.3</v>
      </c>
      <c r="T10">
        <f t="shared" si="4"/>
        <v>753.9822368615504</v>
      </c>
      <c r="U10">
        <f t="shared" si="5"/>
        <v>3.7699111843077522</v>
      </c>
    </row>
    <row r="12" spans="1:21" x14ac:dyDescent="0.25">
      <c r="M12" t="s">
        <v>25</v>
      </c>
    </row>
    <row r="13" spans="1:21" x14ac:dyDescent="0.25">
      <c r="M13" t="s">
        <v>24</v>
      </c>
    </row>
    <row r="14" spans="1:21" x14ac:dyDescent="0.25">
      <c r="M14">
        <v>0.6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8"/>
  <sheetViews>
    <sheetView tabSelected="1" workbookViewId="0">
      <selection activeCell="C2" sqref="C2"/>
    </sheetView>
  </sheetViews>
  <sheetFormatPr defaultRowHeight="15" x14ac:dyDescent="0.25"/>
  <cols>
    <col min="1" max="1" width="43.5703125" customWidth="1"/>
    <col min="2" max="2" width="17.5703125" customWidth="1"/>
  </cols>
  <sheetData>
    <row r="1" spans="1:3" ht="33.75" customHeight="1" x14ac:dyDescent="0.25">
      <c r="B1" s="1" t="s">
        <v>26</v>
      </c>
      <c r="C1" t="s">
        <v>30</v>
      </c>
    </row>
    <row r="2" spans="1:3" x14ac:dyDescent="0.25">
      <c r="A2">
        <v>0</v>
      </c>
      <c r="B2" t="s">
        <v>27</v>
      </c>
      <c r="C2">
        <v>1</v>
      </c>
    </row>
    <row r="3" spans="1:3" x14ac:dyDescent="0.25">
      <c r="A3">
        <v>1</v>
      </c>
      <c r="B3" t="s">
        <v>28</v>
      </c>
      <c r="C3">
        <v>1</v>
      </c>
    </row>
    <row r="4" spans="1:3" x14ac:dyDescent="0.25">
      <c r="A4">
        <v>2</v>
      </c>
      <c r="B4" t="s">
        <v>29</v>
      </c>
      <c r="C4">
        <v>1</v>
      </c>
    </row>
    <row r="6" spans="1:3" x14ac:dyDescent="0.25">
      <c r="B6" s="1"/>
    </row>
    <row r="7" spans="1:3" x14ac:dyDescent="0.25">
      <c r="B7" s="1"/>
    </row>
    <row r="8" spans="1:3" x14ac:dyDescent="0.25">
      <c r="B8" s="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704850</xdr:colOff>
                <xdr:row>0</xdr:row>
                <xdr:rowOff>47625</xdr:rowOff>
              </from>
              <to>
                <xdr:col>0</xdr:col>
                <xdr:colOff>2019300</xdr:colOff>
                <xdr:row>0</xdr:row>
                <xdr:rowOff>390525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SmartSheet</vt:lpstr>
      <vt:lpstr>Export</vt:lpstr>
    </vt:vector>
  </TitlesOfParts>
  <Company>Epic Games,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Csaba</cp:lastModifiedBy>
  <dcterms:created xsi:type="dcterms:W3CDTF">2012-08-21T01:23:22Z</dcterms:created>
  <dcterms:modified xsi:type="dcterms:W3CDTF">2016-07-06T22:08:06Z</dcterms:modified>
</cp:coreProperties>
</file>